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'Sheet1'!$A$6:$K$14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9"/>
      <scheme val="minor"/>
    </font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" fontId="3" fillId="3" borderId="1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0" pivotButton="0" quotePrefix="0" xfId="0"/>
    <xf numFmtId="9" fontId="3" fillId="0" borderId="0" pivotButton="0" quotePrefix="0" xfId="1"/>
    <xf numFmtId="1" fontId="3" fillId="0" borderId="1" pivotButton="0" quotePrefix="0" xfId="0"/>
    <xf numFmtId="1" fontId="3" fillId="0" borderId="3" pivotButton="0" quotePrefix="0" xfId="0"/>
    <xf numFmtId="9" fontId="3" fillId="0" borderId="1" pivotButton="0" quotePrefix="0" xfId="1"/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A2" sqref="A2"/>
    </sheetView>
  </sheetViews>
  <sheetFormatPr baseColWidth="8" defaultRowHeight="11.25"/>
  <cols>
    <col width="5.83203125" bestFit="1" customWidth="1" style="6" min="1" max="1"/>
    <col width="6.33203125" bestFit="1" customWidth="1" style="6" min="2" max="2"/>
    <col width="5.33203125" bestFit="1" customWidth="1" style="6" min="3" max="3"/>
    <col width="12.83203125" bestFit="1" customWidth="1" style="6" min="4" max="4"/>
    <col width="4" bestFit="1" customWidth="1" style="6" min="5" max="5"/>
    <col width="1.6640625" bestFit="1" customWidth="1" style="6" min="6" max="6"/>
    <col width="8.1640625" bestFit="1" customWidth="1" style="6" min="7" max="8"/>
    <col width="7.6640625" bestFit="1" customWidth="1" style="6" min="9" max="9"/>
    <col width="6.33203125" customWidth="1" style="6" min="10" max="10"/>
    <col width="10.83203125" customWidth="1" style="6" min="11" max="11"/>
    <col width="9.33203125" customWidth="1" style="6" min="12" max="16384"/>
  </cols>
  <sheetData>
    <row r="1">
      <c r="A1" s="12" t="inlineStr">
        <is>
          <t>BGT-DISP VS ALC-DISP</t>
        </is>
      </c>
      <c r="B1" s="12" t="n"/>
    </row>
    <row r="2"/>
    <row r="3" ht="22.5" customHeight="1">
      <c r="A3" s="1" t="inlineStr">
        <is>
          <t>RDC</t>
        </is>
      </c>
      <c r="B3" s="1" t="inlineStr">
        <is>
          <t>SEG</t>
        </is>
      </c>
      <c r="C3" s="1" t="inlineStr">
        <is>
          <t>DIV</t>
        </is>
      </c>
      <c r="D3" s="1" t="inlineStr">
        <is>
          <t>SUB
DIV</t>
        </is>
      </c>
      <c r="E3" s="1" t="inlineStr">
        <is>
          <t>MAJ-CAT</t>
        </is>
      </c>
      <c r="F3" s="1" t="inlineStr">
        <is>
          <t>SSN</t>
        </is>
      </c>
      <c r="G3" s="1" t="inlineStr">
        <is>
          <t>.</t>
        </is>
      </c>
      <c r="H3" s="1" t="inlineStr">
        <is>
          <t>BGT DISP</t>
        </is>
      </c>
      <c r="I3" s="1" t="inlineStr">
        <is>
          <t>ALC DISP</t>
        </is>
      </c>
      <c r="J3" s="1" t="inlineStr">
        <is>
          <t>DIFF</t>
        </is>
      </c>
      <c r="K3" s="1" t="n"/>
      <c r="L3" s="11" t="inlineStr">
        <is>
          <t>GAP</t>
        </is>
      </c>
    </row>
    <row r="4">
      <c r="B4" s="2" t="n"/>
      <c r="C4" s="2" t="n"/>
      <c r="D4" s="2" t="n"/>
      <c r="E4" s="2" t="n"/>
      <c r="F4" s="2" t="n"/>
      <c r="G4" s="2" t="n"/>
      <c r="H4" s="3">
        <f>+SUM(H7:H1048575)</f>
        <v/>
      </c>
      <c r="I4" s="3">
        <f>+SUM(I7:I1048575)</f>
        <v/>
      </c>
      <c r="J4" s="3">
        <f>+SUM(J7:J1048575)</f>
        <v/>
      </c>
      <c r="K4" s="3" t="n"/>
      <c r="L4" s="2">
        <f>+COUNTIFS(L7:L1048575,"GAP")</f>
        <v/>
      </c>
    </row>
    <row r="5">
      <c r="B5" s="2" t="n"/>
      <c r="C5" s="2" t="n"/>
      <c r="D5" s="2" t="n"/>
      <c r="E5" s="2" t="n"/>
      <c r="F5" s="2" t="n"/>
      <c r="G5" s="2" t="n"/>
      <c r="H5" s="3">
        <f>+SUBTOTAL(109,H7:H1048575)</f>
        <v/>
      </c>
      <c r="I5" s="3">
        <f>+SUBTOTAL(109,I7:I1048575)</f>
        <v/>
      </c>
      <c r="J5" s="3">
        <f>+SUBTOTAL(109,J7:J1048575)</f>
        <v/>
      </c>
      <c r="K5" s="3" t="n"/>
      <c r="L5" s="2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5" t="n"/>
      <c r="K6" s="7">
        <f>+IFERROR(I6/H6-1,0)</f>
        <v/>
      </c>
      <c r="L6" s="4">
        <f>+IF(OR(J6&gt;3000,J6&lt;-1000,K6&gt;5%,K6&lt;-5%),"GAP","OK")</f>
        <v/>
      </c>
    </row>
    <row r="7">
      <c r="A7" s="4" t="inlineStr">
        <is>
          <t>DH24</t>
        </is>
      </c>
      <c r="B7" s="4" t="inlineStr">
        <is>
          <t>APP</t>
        </is>
      </c>
      <c r="C7" s="4" t="inlineStr">
        <is>
          <t>LADIES</t>
        </is>
      </c>
      <c r="D7" s="4" t="inlineStr">
        <is>
          <t>LN&amp;L</t>
        </is>
      </c>
      <c r="E7" s="4" t="inlineStr">
        <is>
          <t>L_BRA</t>
        </is>
      </c>
      <c r="F7" s="4" t="inlineStr">
        <is>
          <t>A</t>
        </is>
      </c>
      <c r="G7" s="4" t="n"/>
      <c r="H7" s="8" t="n">
        <v>619200</v>
      </c>
      <c r="I7" s="8" t="n">
        <v>525183.75</v>
      </c>
      <c r="J7" s="9" t="n">
        <v>-94016.25</v>
      </c>
      <c r="K7" s="10" t="n">
        <v>-0.1518350290697674</v>
      </c>
      <c r="L7" s="4">
        <f>+IF(OR(J7&gt;3000,J7&lt;-1000,K7&gt;5%,K7&lt;-5%),"GAP","OK")</f>
        <v/>
      </c>
    </row>
    <row r="8">
      <c r="A8" s="4" t="inlineStr">
        <is>
          <t>DW01</t>
        </is>
      </c>
      <c r="B8" s="4" t="inlineStr">
        <is>
          <t>APP</t>
        </is>
      </c>
      <c r="C8" s="4" t="inlineStr">
        <is>
          <t>LADIES</t>
        </is>
      </c>
      <c r="D8" s="4" t="inlineStr">
        <is>
          <t>LN&amp;L</t>
        </is>
      </c>
      <c r="E8" s="4" t="inlineStr">
        <is>
          <t>L_SPRT_BRA</t>
        </is>
      </c>
      <c r="F8" s="4" t="inlineStr">
        <is>
          <t>A</t>
        </is>
      </c>
      <c r="G8" s="4" t="n"/>
      <c r="H8" s="8" t="n">
        <v>410670</v>
      </c>
      <c r="I8" s="8" t="n">
        <v>366423.75</v>
      </c>
      <c r="J8" s="9" t="n">
        <v>-44246.25</v>
      </c>
      <c r="K8" s="10" t="n">
        <v>-0.1077416173570019</v>
      </c>
      <c r="L8" s="4">
        <f>+IF(OR(J8&gt;3000,J8&lt;-1000,K8&gt;5%,K8&lt;-5%),"GAP","OK")</f>
        <v/>
      </c>
    </row>
    <row r="9">
      <c r="A9" s="4" t="inlineStr">
        <is>
          <t>DH24</t>
        </is>
      </c>
      <c r="B9" s="4" t="inlineStr">
        <is>
          <t>APP</t>
        </is>
      </c>
      <c r="C9" s="4" t="inlineStr">
        <is>
          <t>LADIES</t>
        </is>
      </c>
      <c r="D9" s="4" t="inlineStr">
        <is>
          <t>LK&amp;L</t>
        </is>
      </c>
      <c r="E9" s="4" t="inlineStr">
        <is>
          <t>L_KURTI_ST</t>
        </is>
      </c>
      <c r="F9" s="4" t="inlineStr">
        <is>
          <t>A</t>
        </is>
      </c>
      <c r="G9" s="4" t="n"/>
      <c r="H9" s="8" t="n">
        <v>736832</v>
      </c>
      <c r="I9" s="8" t="n">
        <v>703168</v>
      </c>
      <c r="J9" s="9" t="n">
        <v>-33664</v>
      </c>
      <c r="K9" s="10" t="n">
        <v>-0.04568748371406239</v>
      </c>
      <c r="L9" s="4">
        <f>+IF(OR(J9&gt;3000,J9&lt;-1000,K9&gt;5%,K9&lt;-5%),"GAP","OK")</f>
        <v/>
      </c>
    </row>
    <row r="10">
      <c r="A10" s="4" t="inlineStr">
        <is>
          <t>DW01</t>
        </is>
      </c>
      <c r="B10" s="4" t="inlineStr">
        <is>
          <t>APP</t>
        </is>
      </c>
      <c r="C10" s="4" t="inlineStr">
        <is>
          <t>MENS</t>
        </is>
      </c>
      <c r="D10" s="4" t="inlineStr">
        <is>
          <t>ML</t>
        </is>
      </c>
      <c r="E10" s="4" t="inlineStr">
        <is>
          <t>M_F_TRSR</t>
        </is>
      </c>
      <c r="F10" s="4" t="inlineStr">
        <is>
          <t>A</t>
        </is>
      </c>
      <c r="G10" s="4" t="n"/>
      <c r="H10" s="8" t="n">
        <v>280917</v>
      </c>
      <c r="I10" s="8" t="n">
        <v>256158</v>
      </c>
      <c r="J10" s="9" t="n">
        <v>-24759</v>
      </c>
      <c r="K10" s="10" t="n">
        <v>-0.08813635344247595</v>
      </c>
      <c r="L10" s="4">
        <f>+IF(OR(J10&gt;3000,J10&lt;-1000,K10&gt;5%,K10&lt;-5%),"GAP","OK")</f>
        <v/>
      </c>
    </row>
    <row r="11">
      <c r="A11" s="4" t="inlineStr">
        <is>
          <t>DH24</t>
        </is>
      </c>
      <c r="B11" s="4" t="inlineStr">
        <is>
          <t>APP</t>
        </is>
      </c>
      <c r="C11" s="4" t="inlineStr">
        <is>
          <t>MENS</t>
        </is>
      </c>
      <c r="D11" s="4" t="inlineStr">
        <is>
          <t>MU</t>
        </is>
      </c>
      <c r="E11" s="4" t="inlineStr">
        <is>
          <t>M_W_SHIRT_FS</t>
        </is>
      </c>
      <c r="F11" s="4" t="inlineStr">
        <is>
          <t>A</t>
        </is>
      </c>
      <c r="G11" s="4" t="n"/>
      <c r="H11" s="8" t="n">
        <v>785664</v>
      </c>
      <c r="I11" s="8" t="n">
        <v>761904</v>
      </c>
      <c r="J11" s="9" t="n">
        <v>-23760</v>
      </c>
      <c r="K11" s="10" t="n">
        <v>-0.030241935483871</v>
      </c>
      <c r="L11" s="4">
        <f>+IF(OR(J11&gt;3000,J11&lt;-1000,K11&gt;5%,K11&lt;-5%),"GAP","OK")</f>
        <v/>
      </c>
    </row>
    <row r="12">
      <c r="A12" s="4" t="inlineStr">
        <is>
          <t>DW01</t>
        </is>
      </c>
      <c r="B12" s="4" t="inlineStr">
        <is>
          <t>APP</t>
        </is>
      </c>
      <c r="C12" s="4" t="inlineStr">
        <is>
          <t>MENS</t>
        </is>
      </c>
      <c r="D12" s="4" t="inlineStr">
        <is>
          <t>MS-U</t>
        </is>
      </c>
      <c r="E12" s="4" t="inlineStr">
        <is>
          <t>M_TEES_PN_HS</t>
        </is>
      </c>
      <c r="F12" s="4" t="inlineStr">
        <is>
          <t>S</t>
        </is>
      </c>
      <c r="G12" s="4" t="n"/>
      <c r="H12" s="8" t="n">
        <v>690470</v>
      </c>
      <c r="I12" s="8" t="n">
        <v>669130</v>
      </c>
      <c r="J12" s="9" t="n">
        <v>-21340</v>
      </c>
      <c r="K12" s="10" t="n">
        <v>-0.03090648398916684</v>
      </c>
      <c r="L12" s="4">
        <f>+IF(OR(J12&gt;3000,J12&lt;-1000,K12&gt;5%,K12&lt;-5%),"GAP","OK")</f>
        <v/>
      </c>
    </row>
    <row r="13">
      <c r="A13" s="4" t="inlineStr">
        <is>
          <t>DH24</t>
        </is>
      </c>
      <c r="B13" s="4" t="inlineStr">
        <is>
          <t>APP</t>
        </is>
      </c>
      <c r="C13" s="4" t="inlineStr">
        <is>
          <t>KIDS</t>
        </is>
      </c>
      <c r="D13" s="4" t="inlineStr">
        <is>
          <t>KB-L</t>
        </is>
      </c>
      <c r="E13" s="4" t="inlineStr">
        <is>
          <t>YB_CRG</t>
        </is>
      </c>
      <c r="F13" s="4" t="inlineStr">
        <is>
          <t>A</t>
        </is>
      </c>
      <c r="G13" s="4" t="n"/>
      <c r="H13" s="8" t="n">
        <v>126120</v>
      </c>
      <c r="I13" s="8" t="n">
        <v>109608</v>
      </c>
      <c r="J13" s="9" t="n">
        <v>-16512</v>
      </c>
      <c r="K13" s="10" t="n">
        <v>-0.1309229305423406</v>
      </c>
      <c r="L13" s="4">
        <f>+IF(OR(J13&gt;3000,J13&lt;-1000,K13&gt;5%,K13&lt;-5%),"GAP","OK")</f>
        <v/>
      </c>
    </row>
    <row r="14">
      <c r="A14" s="4" t="inlineStr">
        <is>
          <t>DW01</t>
        </is>
      </c>
      <c r="B14" s="4" t="inlineStr">
        <is>
          <t>APP</t>
        </is>
      </c>
      <c r="C14" s="4" t="inlineStr">
        <is>
          <t>MENS</t>
        </is>
      </c>
      <c r="D14" s="4" t="inlineStr">
        <is>
          <t>MS-U</t>
        </is>
      </c>
      <c r="E14" s="4" t="inlineStr">
        <is>
          <t>M_TEES_HS</t>
        </is>
      </c>
      <c r="F14" s="4" t="inlineStr">
        <is>
          <t>S</t>
        </is>
      </c>
      <c r="G14" s="4" t="n"/>
      <c r="H14" s="8" t="n">
        <v>904560</v>
      </c>
      <c r="I14" s="8" t="n">
        <v>888720</v>
      </c>
      <c r="J14" s="9" t="n">
        <v>-15840</v>
      </c>
      <c r="K14" s="10" t="n">
        <v>-0.01751127620058368</v>
      </c>
      <c r="L14" s="4">
        <f>+IF(OR(J14&gt;3000,J14&lt;-1000,K14&gt;5%,K14&lt;-5%),"GAP","OK")</f>
        <v/>
      </c>
    </row>
  </sheetData>
  <autoFilter ref="A6:K1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2026-09-10T05:19:44Z</dcterms:created>
  <dcterms:modified xmlns:dcterms="http://purl.org/dc/terms/" xmlns:xsi="http://www.w3.org/2001/XMLSchema-instance" xsi:type="dcterms:W3CDTF">2026-09-22T09:55:50Z</dcterms:modified>
  <cp:lastModifiedBy>USER2</cp:lastModifiedBy>
</cp:coreProperties>
</file>
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315E2068-C737-417E-89E5-0A6F66432DA7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P9" i="1"/>
  <c r="N9" i="1"/>
  <c r="O9" i="1" s="1"/>
  <c r="N8" i="1"/>
  <c r="O8" i="1" s="1"/>
  <c r="L8" i="1"/>
  <c r="L9" i="1"/>
  <c r="P7" i="1"/>
  <c r="L7" i="1"/>
  <c r="O7" i="1"/>
</calcChain>
</file>

<file path=xl/sharedStrings.xml><?xml version="1.0" encoding="utf-8"?>
<sst xmlns="http://schemas.openxmlformats.org/spreadsheetml/2006/main" count="35" uniqueCount="29">
  <si>
    <t>ST-CD</t>
  </si>
  <si>
    <t>ST-NM</t>
  </si>
  <si>
    <t>ST-STAT</t>
  </si>
  <si>
    <t>RDC</t>
  </si>
  <si>
    <t>GAP</t>
  </si>
  <si>
    <t>OLD</t>
  </si>
  <si>
    <t>HD22</t>
  </si>
  <si>
    <t>KPSHR</t>
  </si>
  <si>
    <t>DH24</t>
  </si>
  <si>
    <t>MJ</t>
  </si>
  <si>
    <t>SEG</t>
  </si>
  <si>
    <t>DIV</t>
  </si>
  <si>
    <t>SUB
DIV</t>
  </si>
  <si>
    <t>SSN</t>
  </si>
  <si>
    <t>ST-MJ
MBQ</t>
  </si>
  <si>
    <t>APP</t>
  </si>
  <si>
    <t>LADIES</t>
  </si>
  <si>
    <t>LL</t>
  </si>
  <si>
    <t>L_JEANS</t>
  </si>
  <si>
    <t>MENS</t>
  </si>
  <si>
    <t>ML</t>
  </si>
  <si>
    <t>M_JEANS</t>
  </si>
  <si>
    <t>A</t>
  </si>
  <si>
    <t>ST-MJ
BEFORE
STK</t>
  </si>
  <si>
    <t>ALC-Q</t>
  </si>
  <si>
    <t>ST-MJ
AFTER
STK</t>
  </si>
  <si>
    <t>ST-MJ
AFT
FR%</t>
  </si>
  <si>
    <t>ST-MJ
BEFORE
FR%</t>
  </si>
  <si>
    <t>EXCESS ALC @ ST-MJ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</si>
</sst>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9" fontId="3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P13"/>
  <sheetViews>
    <sheetView tabSelected="1" workbookViewId="0">
      <selection activeCell="A2" sqref="A2"/>
    </sheetView>
  </sheetViews>
  <sheetFormatPr defaultRowHeight="11.25" outlineLevelCol="1" x14ac:dyDescent="0.2"/>
  <cols>
    <col min="1" max="1" width="8" style="2" customWidth="1"/>
    <col min="2" max="2" width="7.1640625" style="2" bestFit="1" customWidth="1" outlineLevel="1"/>
    <col min="3" max="3" width="6" style="2" bestFit="1" customWidth="1"/>
    <col min="4" max="4" width="5.83203125" style="2" bestFit="1" customWidth="1" outlineLevel="1"/>
    <col min="5" max="5" width="5.83203125" style="2" customWidth="1"/>
    <col min="6" max="7" width="5.83203125" style="2" customWidth="1" outlineLevel="1"/>
    <col min="8" max="8" width="8" style="2" bestFit="1" customWidth="1"/>
    <col min="9" max="9" width="5.83203125" style="2" customWidth="1"/>
    <col min="10" max="13" width="9.33203125" style="2"/>
    <col min="14" max="14" width="8" style="2" bestFit="1" customWidth="1"/>
    <col min="15" max="15" width="8.33203125" style="2" bestFit="1" customWidth="1"/>
    <col min="16" max="16" width="9.6640625" style="2" bestFit="1" customWidth="1"/>
    <col min="17" max="16384" width="9.33203125" style="2"/>
  </cols>
  <sheetData>
    <row r="1" spans="1:16" x14ac:dyDescent="0.2">
      <c r="A1" s="1" t="s">
        <v>28</v>
      </c>
    </row>
    <row r="4" spans="1:16" s="5" customFormat="1" ht="33" customHeight="1" x14ac:dyDescent="0.2">
      <c r="A4" s="3" t="s">
        <v>0</v>
      </c>
      <c r="B4" s="3" t="s">
        <v>2</v>
      </c>
      <c r="C4" s="3" t="s">
        <v>1</v>
      </c>
      <c r="D4" s="3" t="s">
        <v>3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13</v>
      </c>
      <c r="J4" s="3" t="s">
        <v>14</v>
      </c>
      <c r="K4" s="3" t="s">
        <v>23</v>
      </c>
      <c r="L4" s="3" t="s">
        <v>27</v>
      </c>
      <c r="M4" s="3" t="s">
        <v>24</v>
      </c>
      <c r="N4" s="3" t="s">
        <v>25</v>
      </c>
      <c r="O4" s="3" t="s">
        <v>26</v>
      </c>
      <c r="P4" s="4" t="s">
        <v>4</v>
      </c>
    </row>
    <row r="5" spans="1:16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>
        <f>+IFERROR(K7/J7,0)</f>
        <v>0</v>
      </c>
      <c r="M7" s="7"/>
      <c r="N7" s="7"/>
      <c r="O7" s="8">
        <f>+IFERROR(N7/J7,0)</f>
        <v>0</v>
      </c>
      <c r="P7" s="7" t="str">
        <f>+IF(AND(L7&gt;110%,M7&gt;0),"EXCESS ALC","OKAY")</f>
        <v>OKAY</v>
      </c>
    </row>
    <row r="8" spans="1:16" x14ac:dyDescent="0.2">
      <c r="A8" s="7" t="s">
        <v>6</v>
      </c>
      <c r="B8" s="7" t="s">
        <v>5</v>
      </c>
      <c r="C8" s="7" t="s">
        <v>7</v>
      </c>
      <c r="D8" s="7" t="s">
        <v>8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22</v>
      </c>
      <c r="J8" s="7">
        <v>2309</v>
      </c>
      <c r="K8" s="7">
        <v>2200</v>
      </c>
      <c r="L8" s="8">
        <f t="shared" ref="L8:L9" si="0">+IFERROR(K8/J8,0)</f>
        <v>0.95279341706366394</v>
      </c>
      <c r="M8" s="7">
        <v>100</v>
      </c>
      <c r="N8" s="7">
        <f>+K8+M8</f>
        <v>2300</v>
      </c>
      <c r="O8" s="8">
        <f t="shared" ref="O8:O9" si="1">+IFERROR(N8/J8,0)</f>
        <v>0.99610220874837596</v>
      </c>
      <c r="P8" s="7" t="str">
        <f t="shared" ref="P8:P9" si="2">+IF(AND(L8&gt;110%,M8&gt;0),"EXCESS ALC","OKAY")</f>
        <v>OKAY</v>
      </c>
    </row>
    <row r="9" spans="1:16" x14ac:dyDescent="0.2">
      <c r="A9" s="7" t="s">
        <v>6</v>
      </c>
      <c r="B9" s="7" t="s">
        <v>5</v>
      </c>
      <c r="C9" s="7" t="s">
        <v>7</v>
      </c>
      <c r="D9" s="7" t="s">
        <v>8</v>
      </c>
      <c r="E9" s="7" t="s">
        <v>15</v>
      </c>
      <c r="F9" s="7" t="s">
        <v>19</v>
      </c>
      <c r="G9" s="7" t="s">
        <v>20</v>
      </c>
      <c r="H9" s="7" t="s">
        <v>21</v>
      </c>
      <c r="I9" s="7" t="s">
        <v>22</v>
      </c>
      <c r="J9" s="7">
        <v>3705</v>
      </c>
      <c r="K9" s="7">
        <v>4200</v>
      </c>
      <c r="L9" s="8">
        <f t="shared" si="0"/>
        <v>1.1336032388663968</v>
      </c>
      <c r="M9" s="7">
        <v>200</v>
      </c>
      <c r="N9" s="7">
        <f>+K9+M9</f>
        <v>4400</v>
      </c>
      <c r="O9" s="8">
        <f t="shared" si="1"/>
        <v>1.1875843454790824</v>
      </c>
      <c r="P9" s="7" t="str">
        <f t="shared" si="2"/>
        <v>EXCESS ALC</v>
      </c>
    </row>
    <row r="10" spans="1:1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</sheetData>
  <autoFilter ref="A7:P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2026-09-09T06:28:16Z</dcterms:modified>
</cp:coreProperties>
</file>
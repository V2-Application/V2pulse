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FEB57114-16AB-46B6-9F32-998DB477461C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" l="1"/>
  <c r="M9" i="1"/>
  <c r="M7" i="1"/>
  <c r="L8" i="1"/>
  <c r="L9" i="1"/>
  <c r="L7" i="1"/>
</calcChain>
</file>

<file path=xl/sharedStrings.xml><?xml version="1.0" encoding="utf-8"?>
<sst xmlns="http://schemas.openxmlformats.org/spreadsheetml/2006/main" count="32" uniqueCount="29">
  <si>
    <t>ST-CD</t>
  </si>
  <si>
    <t>ST-NM</t>
  </si>
  <si>
    <t>ST-STAT</t>
  </si>
  <si>
    <t>RDC</t>
  </si>
  <si>
    <t>GAP</t>
  </si>
  <si>
    <t>OLD</t>
  </si>
  <si>
    <t>MJ</t>
  </si>
  <si>
    <t>SEG</t>
  </si>
  <si>
    <t>DIV</t>
  </si>
  <si>
    <t>SUB
DIV</t>
  </si>
  <si>
    <t>SSN</t>
  </si>
  <si>
    <t>APP</t>
  </si>
  <si>
    <t>MENS</t>
  </si>
  <si>
    <t>DISP VS ACC-DENSITY</t>
  </si>
  <si>
    <t>FINAL
ACC-DENS</t>
  </si>
  <si>
    <t>BGT
DISP</t>
  </si>
  <si>
    <t>DIFF</t>
  </si>
  <si>
    <t>HA11</t>
  </si>
  <si>
    <t>HB06</t>
  </si>
  <si>
    <t>PASIGHAT</t>
  </si>
  <si>
    <t>GAYA</t>
  </si>
  <si>
    <t>DW01</t>
  </si>
  <si>
    <t>MO</t>
  </si>
  <si>
    <t>M_MODI_JKT</t>
  </si>
  <si>
    <t>KIDS</t>
  </si>
  <si>
    <t>KGW-U</t>
  </si>
  <si>
    <t>YGW_SKEEVY</t>
  </si>
  <si>
    <t>OC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</si>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</sst>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1" fontId="3" fillId="0" borderId="1" xfId="1" applyNumberFormat="1" applyFont="1" applyBorder="1"/>
    <xf numFmtId="1" fontId="3" fillId="0" borderId="1" xfId="0" applyNumberFormat="1" applyFont="1" applyBorder="1"/>
    <xf numFmtId="43" fontId="3" fillId="0" borderId="1" xfId="2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M13"/>
  <sheetViews>
    <sheetView tabSelected="1" workbookViewId="0">
      <selection activeCell="M10" sqref="M10"/>
    </sheetView>
  </sheetViews>
  <sheetFormatPr defaultRowHeight="11.25" outlineLevelCol="1" x14ac:dyDescent="0.2"/>
  <cols>
    <col min="1" max="1" width="8" style="2" customWidth="1"/>
    <col min="2" max="2" width="7.1640625" style="2" bestFit="1" customWidth="1" outlineLevel="1"/>
    <col min="3" max="3" width="6" style="2" bestFit="1" customWidth="1"/>
    <col min="4" max="4" width="5.83203125" style="2" bestFit="1" customWidth="1" outlineLevel="1"/>
    <col min="5" max="5" width="5.83203125" style="2" customWidth="1"/>
    <col min="6" max="6" width="5.83203125" style="2" customWidth="1" outlineLevel="1"/>
    <col min="7" max="7" width="6.6640625" style="2" bestFit="1" customWidth="1" outlineLevel="1"/>
    <col min="8" max="8" width="8" style="2" bestFit="1" customWidth="1"/>
    <col min="9" max="9" width="5.83203125" style="2" customWidth="1"/>
    <col min="10" max="10" width="9.33203125" style="2"/>
    <col min="11" max="11" width="8.33203125" style="2" bestFit="1" customWidth="1"/>
    <col min="12" max="12" width="8.33203125" style="2" customWidth="1"/>
    <col min="13" max="16384" width="9.33203125" style="2"/>
  </cols>
  <sheetData>
    <row r="1" spans="1:13" x14ac:dyDescent="0.2">
      <c r="A1" s="1" t="s">
        <v>13</v>
      </c>
    </row>
    <row r="4" spans="1:13" s="5" customFormat="1" ht="33" customHeight="1" x14ac:dyDescent="0.2">
      <c r="A4" s="3" t="s">
        <v>0</v>
      </c>
      <c r="B4" s="3" t="s">
        <v>2</v>
      </c>
      <c r="C4" s="3" t="s">
        <v>1</v>
      </c>
      <c r="D4" s="3" t="s">
        <v>3</v>
      </c>
      <c r="E4" s="3" t="s">
        <v>7</v>
      </c>
      <c r="F4" s="3" t="s">
        <v>8</v>
      </c>
      <c r="G4" s="3" t="s">
        <v>9</v>
      </c>
      <c r="H4" s="3" t="s">
        <v>6</v>
      </c>
      <c r="I4" s="3" t="s">
        <v>10</v>
      </c>
      <c r="J4" s="3" t="s">
        <v>14</v>
      </c>
      <c r="K4" s="3" t="s">
        <v>15</v>
      </c>
      <c r="L4" s="3" t="s">
        <v>16</v>
      </c>
      <c r="M4" s="4" t="s">
        <v>4</v>
      </c>
    </row>
    <row r="5" spans="1:13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8"/>
      <c r="L7" s="10">
        <f>IF(K7&gt;0,K7-$J7,0)</f>
        <v>0</v>
      </c>
      <c r="M7" s="7" t="str">
        <f>+IF(L7&lt;0,"GAP","OK")</f>
        <v>OK</v>
      </c>
    </row>
    <row r="8" spans="1:13" x14ac:dyDescent="0.2">
      <c r="A8" s="7" t="s">
        <v>17</v>
      </c>
      <c r="B8" s="7" t="s">
        <v>5</v>
      </c>
      <c r="C8" s="7" t="s">
        <v>19</v>
      </c>
      <c r="D8" s="7" t="s">
        <v>21</v>
      </c>
      <c r="E8" s="7" t="s">
        <v>11</v>
      </c>
      <c r="F8" s="7" t="s">
        <v>12</v>
      </c>
      <c r="G8" s="7" t="s">
        <v>22</v>
      </c>
      <c r="H8" s="7" t="s">
        <v>23</v>
      </c>
      <c r="I8" s="7" t="s">
        <v>27</v>
      </c>
      <c r="J8" s="7">
        <v>20</v>
      </c>
      <c r="K8" s="8">
        <v>10</v>
      </c>
      <c r="L8" s="10">
        <f t="shared" ref="L8:L9" si="0">IF(K8&gt;0,K8-$J8,0)</f>
        <v>-10</v>
      </c>
      <c r="M8" s="7" t="str">
        <f t="shared" ref="M8:M9" si="1">+IF(L8&lt;0,"GAP","OK")</f>
        <v>GAP</v>
      </c>
    </row>
    <row r="9" spans="1:13" x14ac:dyDescent="0.2">
      <c r="A9" s="7" t="s">
        <v>18</v>
      </c>
      <c r="B9" s="7" t="s">
        <v>5</v>
      </c>
      <c r="C9" s="7" t="s">
        <v>20</v>
      </c>
      <c r="D9" s="7" t="s">
        <v>21</v>
      </c>
      <c r="E9" s="7" t="s">
        <v>11</v>
      </c>
      <c r="F9" s="7" t="s">
        <v>24</v>
      </c>
      <c r="G9" s="7" t="s">
        <v>25</v>
      </c>
      <c r="H9" s="7" t="s">
        <v>26</v>
      </c>
      <c r="I9" s="7" t="s">
        <v>28</v>
      </c>
      <c r="J9" s="7">
        <v>22</v>
      </c>
      <c r="K9" s="8">
        <v>11</v>
      </c>
      <c r="L9" s="10">
        <f t="shared" si="0"/>
        <v>-11</v>
      </c>
      <c r="M9" s="7" t="str">
        <f t="shared" si="1"/>
        <v>GAP</v>
      </c>
    </row>
    <row r="10" spans="1:1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9"/>
      <c r="L10" s="7"/>
      <c r="M10" s="7"/>
    </row>
    <row r="11" spans="1:13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9"/>
      <c r="L11" s="7"/>
      <c r="M11" s="7"/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9"/>
      <c r="L12" s="7"/>
      <c r="M12" s="7"/>
    </row>
    <row r="13" spans="1:1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</sheetData>
  <autoFilter ref="A7:M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2026-09-10T05:39:16Z</dcterms:modified>
</cp:coreProperties>
</file>
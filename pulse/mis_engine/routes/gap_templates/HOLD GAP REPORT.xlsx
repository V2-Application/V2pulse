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'Sheet1'!$A$7:$L$7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9"/>
      <scheme val="minor"/>
    </font>
    <font>
      <name val="Calibri"/>
      <family val="2"/>
      <b val="1"/>
      <color theme="1"/>
      <sz val="8"/>
    </font>
    <font>
      <name val="Calibri"/>
      <family val="2"/>
      <color theme="1"/>
      <sz val="8"/>
    </font>
    <font>
      <name val="Aptos Narrow"/>
      <family val="2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3" fillId="0" borderId="0"/>
    <xf numFmtId="9" fontId="3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1" fillId="2" borderId="1" applyAlignment="1" pivotButton="0" quotePrefix="1" xfId="0">
      <alignment horizontal="center" vertical="center" wrapText="1"/>
    </xf>
    <xf numFmtId="9" fontId="2" fillId="0" borderId="1" pivotButton="0" quotePrefix="0" xfId="1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A2" sqref="A2"/>
    </sheetView>
  </sheetViews>
  <sheetFormatPr baseColWidth="8" defaultRowHeight="11.25"/>
  <cols>
    <col width="5.83203125" customWidth="1" style="2" min="1" max="1"/>
    <col outlineLevel="1" width="7.1640625" customWidth="1" style="2" min="2" max="2"/>
    <col outlineLevel="1" width="6" customWidth="1" style="2" min="3" max="3"/>
    <col width="8" customWidth="1" style="2" min="4" max="4"/>
    <col width="5.83203125" customWidth="1" style="2" min="5" max="5"/>
    <col outlineLevel="1" width="5.83203125" customWidth="1" style="2" min="6" max="6"/>
    <col width="8" bestFit="1" customWidth="1" style="2" min="7" max="7"/>
    <col outlineLevel="1" width="9.5" customWidth="1" style="2" min="8" max="8"/>
    <col width="8" customWidth="1" style="2" min="9" max="9"/>
    <col outlineLevel="1" width="9.1640625" customWidth="1" style="2" min="10" max="11"/>
    <col width="9.33203125" customWidth="1" style="2" min="12" max="16384"/>
  </cols>
  <sheetData>
    <row r="1">
      <c r="A1" s="1" t="inlineStr">
        <is>
          <t>HOLD  GAP</t>
        </is>
      </c>
      <c r="B1" s="1" t="n"/>
    </row>
    <row r="2"/>
    <row r="3"/>
    <row r="4" ht="33" customFormat="1" customHeight="1" s="5">
      <c r="A4" s="3" t="inlineStr">
        <is>
          <t>RDC</t>
        </is>
      </c>
      <c r="B4" s="3" t="inlineStr">
        <is>
          <t>SEG</t>
        </is>
      </c>
      <c r="C4" s="3" t="inlineStr">
        <is>
          <t>DIV</t>
        </is>
      </c>
      <c r="D4" s="3" t="inlineStr">
        <is>
          <t>SUB
DIV</t>
        </is>
      </c>
      <c r="E4" s="3" t="inlineStr">
        <is>
          <t>MJ</t>
        </is>
      </c>
      <c r="F4" s="3" t="inlineStr">
        <is>
          <t>SSN</t>
        </is>
      </c>
      <c r="G4" s="3" t="inlineStr">
        <is>
          <t>MJ
MBQ</t>
        </is>
      </c>
      <c r="H4" s="3" t="inlineStr">
        <is>
          <t>SHORT
AFT
ALC</t>
        </is>
      </c>
      <c r="I4" s="3" t="inlineStr">
        <is>
          <t>OPT SHORT
AFT
ALC</t>
        </is>
      </c>
      <c r="J4" s="3" t="inlineStr">
        <is>
          <t>REM
MSA</t>
        </is>
      </c>
      <c r="K4" s="3" t="inlineStr">
        <is>
          <t>REM
HOLD
MSA</t>
        </is>
      </c>
      <c r="L4" s="8" t="inlineStr">
        <is>
          <t>HOLD
VS
TTL-MSA CONTB%</t>
        </is>
      </c>
      <c r="M4" s="4" t="inlineStr">
        <is>
          <t>GAP</t>
        </is>
      </c>
    </row>
    <row r="5"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9">
        <f>IFERROR(K7/(J7+K7),0)</f>
        <v/>
      </c>
      <c r="M7" s="7">
        <f>+IF(AND(H7&gt;0,L7&gt;30%),"GAP","OK")</f>
        <v/>
      </c>
    </row>
    <row r="8">
      <c r="A8" s="7" t="inlineStr">
        <is>
          <t>DH24</t>
        </is>
      </c>
      <c r="B8" s="7" t="inlineStr">
        <is>
          <t>APP</t>
        </is>
      </c>
      <c r="C8" s="7" t="inlineStr">
        <is>
          <t>LADIES</t>
        </is>
      </c>
      <c r="D8" s="7" t="inlineStr">
        <is>
          <t>LL</t>
        </is>
      </c>
      <c r="E8" s="7" t="inlineStr">
        <is>
          <t>L_JEANS</t>
        </is>
      </c>
      <c r="F8" s="7" t="inlineStr">
        <is>
          <t>A</t>
        </is>
      </c>
      <c r="G8" s="7" t="n">
        <v>70000</v>
      </c>
      <c r="H8" s="7" t="n">
        <v>1500</v>
      </c>
      <c r="I8" s="7" t="n"/>
      <c r="J8" s="7" t="n">
        <v>3000</v>
      </c>
      <c r="K8" s="7" t="n">
        <v>700</v>
      </c>
      <c r="L8" s="9">
        <f>IFERROR(K8/(J8+K8),0)</f>
        <v/>
      </c>
      <c r="M8" s="7">
        <f>+IF(AND(H8&gt;0,L8&gt;30%),"GAP","OK")</f>
        <v/>
      </c>
    </row>
    <row r="9">
      <c r="A9" s="7" t="inlineStr">
        <is>
          <t>DW01</t>
        </is>
      </c>
      <c r="B9" s="7" t="inlineStr">
        <is>
          <t>APP</t>
        </is>
      </c>
      <c r="C9" s="7" t="inlineStr">
        <is>
          <t>MENS</t>
        </is>
      </c>
      <c r="D9" s="7" t="inlineStr">
        <is>
          <t>ML</t>
        </is>
      </c>
      <c r="E9" s="7" t="inlineStr">
        <is>
          <t>M_JEANS</t>
        </is>
      </c>
      <c r="F9" s="7" t="inlineStr">
        <is>
          <t>A</t>
        </is>
      </c>
      <c r="G9" s="7" t="n">
        <v>60000</v>
      </c>
      <c r="H9" s="7" t="n">
        <v>250</v>
      </c>
      <c r="I9" s="7" t="n"/>
      <c r="J9" s="7" t="n">
        <v>1200</v>
      </c>
      <c r="K9" s="7" t="n">
        <v>800</v>
      </c>
      <c r="L9" s="9">
        <f>IFERROR(K9/(J9+K9),0)</f>
        <v/>
      </c>
      <c r="M9" s="7">
        <f>+IF(AND(H9&gt;0,L9&gt;30%),"GAP","OK")</f>
        <v/>
      </c>
    </row>
    <row r="10">
      <c r="A10" s="7" t="inlineStr">
        <is>
          <t>DH24</t>
        </is>
      </c>
      <c r="B10" s="7" t="inlineStr">
        <is>
          <t>GM</t>
        </is>
      </c>
      <c r="C10" s="7" t="n"/>
      <c r="D10" s="7" t="n"/>
      <c r="E10" s="7" t="inlineStr">
        <is>
          <t>LS_FACE WIPES</t>
        </is>
      </c>
      <c r="F10" s="7" t="inlineStr">
        <is>
          <t>A</t>
        </is>
      </c>
      <c r="G10" s="7" t="n">
        <v>50000</v>
      </c>
      <c r="H10" s="7" t="n">
        <v>9000</v>
      </c>
      <c r="I10" s="7" t="n"/>
      <c r="J10" s="7" t="n">
        <v>7000</v>
      </c>
      <c r="K10" s="7" t="n">
        <v>500</v>
      </c>
      <c r="L10" s="9">
        <f>IFERROR(K10/(J10+K10),0)</f>
        <v/>
      </c>
      <c r="M10" s="7">
        <f>+IF(AND(H10&gt;0,L10&gt;30%),"GAP","OK")</f>
        <v/>
      </c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</sheetData>
  <autoFilter ref="A7:L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USER2</dc:creator>
  <dcterms:created xmlns:dcterms="http://purl.org/dc/terms/" xmlns:xsi="http://www.w3.org/2001/XMLSchema-instance" xsi:type="dcterms:W3CDTF">2026-09-09T05:45:50Z</dcterms:created>
  <dcterms:modified xmlns:dcterms="http://purl.org/dc/terms/" xmlns:xsi="http://www.w3.org/2001/XMLSchema-instance" xsi:type="dcterms:W3CDTF">2026-09-22T09:55:50Z</dcterms:modified>
  <cp:lastModifiedBy>USER2</cp:lastModifiedBy>
</cp:coreProperties>
</file>